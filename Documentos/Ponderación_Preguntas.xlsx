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rma\Downloads\"/>
    </mc:Choice>
  </mc:AlternateContent>
  <xr:revisionPtr revIDLastSave="0" documentId="13_ncr:1_{04D9B7AB-3E7B-4194-B808-18120A1836BF}" xr6:coauthVersionLast="47" xr6:coauthVersionMax="47" xr10:uidLastSave="{00000000-0000-0000-0000-000000000000}"/>
  <bookViews>
    <workbookView xWindow="12" yWindow="8544" windowWidth="23232" windowHeight="13872" tabRatio="500" xr2:uid="{00000000-000D-0000-FFFF-FFFF00000000}"/>
  </bookViews>
  <sheets>
    <sheet name="Score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1" l="1"/>
  <c r="G6" i="1"/>
  <c r="G48" i="1" s="1"/>
  <c r="G49" i="1"/>
  <c r="B6" i="1"/>
  <c r="H17" i="1"/>
  <c r="H23" i="1"/>
  <c r="H29" i="1"/>
  <c r="H35" i="1"/>
  <c r="H41" i="1"/>
  <c r="G41" i="1"/>
  <c r="B35" i="1"/>
  <c r="B29" i="1"/>
  <c r="G29" i="1" s="1"/>
  <c r="B23" i="1"/>
  <c r="G23" i="1" s="1"/>
  <c r="B17" i="1"/>
  <c r="G17" i="1" s="1"/>
  <c r="G35" i="1" l="1"/>
  <c r="G50" i="1" l="1"/>
</calcChain>
</file>

<file path=xl/sharedStrings.xml><?xml version="1.0" encoding="utf-8"?>
<sst xmlns="http://schemas.openxmlformats.org/spreadsheetml/2006/main" count="77" uniqueCount="56">
  <si>
    <t>Arena Capital — Scorecard de Evaluación</t>
  </si>
  <si>
    <t>Selecciona un valor (1-4) en la columna "Tu selección" para cada criterio</t>
  </si>
  <si>
    <t>#</t>
  </si>
  <si>
    <t>Ponderación</t>
  </si>
  <si>
    <t>Rango</t>
  </si>
  <si>
    <t>Valor</t>
  </si>
  <si>
    <t>Tu selección</t>
  </si>
  <si>
    <t>Puntaje ponderado</t>
  </si>
  <si>
    <t>Puntaje bruto</t>
  </si>
  <si>
    <t>Años de operación</t>
  </si>
  <si>
    <t>Opción 1</t>
  </si>
  <si>
    <t>&lt; 5 años</t>
  </si>
  <si>
    <t>Opción 2</t>
  </si>
  <si>
    <t>5 – 15 años</t>
  </si>
  <si>
    <t>Opción 3</t>
  </si>
  <si>
    <t>15 – 30 años</t>
  </si>
  <si>
    <t>Opción 4</t>
  </si>
  <si>
    <t>+ 30 años</t>
  </si>
  <si>
    <t>Ventas (MXN)</t>
  </si>
  <si>
    <t>&lt; $100M</t>
  </si>
  <si>
    <t>$100M – $200M</t>
  </si>
  <si>
    <t>$200M – $500M</t>
  </si>
  <si>
    <t>$500M +</t>
  </si>
  <si>
    <t>Margen de operación</t>
  </si>
  <si>
    <t>&lt; 5%</t>
  </si>
  <si>
    <t>5% – 15%</t>
  </si>
  <si>
    <t>15% – 30%</t>
  </si>
  <si>
    <t>30% +</t>
  </si>
  <si>
    <t>Concentración de clientes</t>
  </si>
  <si>
    <t>50% +</t>
  </si>
  <si>
    <t>30% – 50%</t>
  </si>
  <si>
    <t>10% – 30%</t>
  </si>
  <si>
    <t>&lt; 10%</t>
  </si>
  <si>
    <t>Tendencia de ventas</t>
  </si>
  <si>
    <t>Decreciendo</t>
  </si>
  <si>
    <t>Estable sin crecimiento</t>
  </si>
  <si>
    <t>Crecimiento moderado</t>
  </si>
  <si>
    <t>Alto crecimiento</t>
  </si>
  <si>
    <t>SCORE PONDERADO TOTAL</t>
  </si>
  <si>
    <t>Máximo posible</t>
  </si>
  <si>
    <t>% del máximo</t>
  </si>
  <si>
    <t>Instrucciones: En la columna "Tu selección" (amarilla), ingresa 1, 2, 3 o 4 según la opción que aplique para cada criterio.</t>
  </si>
  <si>
    <t>Opción 5</t>
  </si>
  <si>
    <t>Opción 6</t>
  </si>
  <si>
    <t>Opción 7</t>
  </si>
  <si>
    <t>Opción 8</t>
  </si>
  <si>
    <t>Manufactura / Industria</t>
  </si>
  <si>
    <t>Servicios Empresariales (B2B)</t>
  </si>
  <si>
    <t>Distribución / Logística</t>
  </si>
  <si>
    <t>Salud y Servicios Médicos</t>
  </si>
  <si>
    <t>Educación</t>
  </si>
  <si>
    <t>Tecnología / Software</t>
  </si>
  <si>
    <t>Retail / Consumo</t>
  </si>
  <si>
    <t>Construcción / Inmobiliario</t>
  </si>
  <si>
    <t>Otra industria</t>
  </si>
  <si>
    <t>Opción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</si>
</sst>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2F4F4F"/>
      <name val="Arial"/>
      <charset val="1"/>
    </font>
    <font>
      <i/>
      <sz val="10"/>
      <color rgb="FF888888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1"/>
      <color rgb="FF2F4F4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9"/>
      <color rgb="FF999999"/>
      <name val="Arial"/>
      <charset val="1"/>
    </font>
    <font>
      <b/>
      <sz val="12"/>
      <color rgb="FF2F4F4F"/>
      <name val="Arial"/>
      <charset val="1"/>
    </font>
    <font>
      <b/>
      <sz val="16"/>
      <color rgb="FF2F4F4F"/>
      <name val="Arial"/>
      <charset val="1"/>
    </font>
    <font>
      <sz val="10"/>
      <color rgb="FF888888"/>
      <name val="Arial"/>
      <charset val="1"/>
    </font>
    <font>
      <i/>
      <sz val="9"/>
      <color rgb="FF999999"/>
      <name val="Arial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EEEDFE"/>
        <bgColor rgb="FFE8F0E8"/>
      </patternFill>
    </fill>
    <fill>
      <patternFill patternType="solid">
        <fgColor rgb="FFFFF8DC"/>
        <bgColor rgb="FFF5F5F0"/>
      </patternFill>
    </fill>
    <fill>
      <patternFill patternType="solid">
        <fgColor rgb="FFF5F5F0"/>
        <bgColor rgb="FFE8F0E8"/>
      </patternFill>
    </fill>
    <fill>
      <patternFill patternType="solid">
        <fgColor rgb="FFE8F0E8"/>
        <bgColor rgb="FFEEEDFE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C4A000"/>
      </left>
      <right style="medium">
        <color rgb="FFC4A000"/>
      </right>
      <top style="medium">
        <color rgb="FFC4A000"/>
      </top>
      <bottom style="medium">
        <color rgb="FFC4A000"/>
      </bottom>
      <diagonal/>
    </border>
    <border>
      <left/>
      <right/>
      <top style="double">
        <color rgb="FF2F4F4F"/>
      </top>
      <bottom style="double">
        <color rgb="FF2F4F4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2" fillId="0" borderId="0" xfId="0" applyFont="1"/>
    <xf numFmtId="0" fontId="11" fillId="0" borderId="0" xfId="0" applyFont="1"/>
    <xf numFmtId="0" fontId="9" fillId="6" borderId="0" xfId="0" applyFont="1" applyFill="1" applyAlignment="1">
      <alignment vertic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9" fontId="4" fillId="3" borderId="0" xfId="0" applyNumberFormat="1" applyFont="1" applyFill="1" applyAlignment="1">
      <alignment horizontal="center"/>
    </xf>
    <xf numFmtId="9" fontId="5" fillId="0" borderId="0" xfId="0" applyNumberFormat="1" applyFont="1"/>
    <xf numFmtId="0" fontId="6" fillId="4" borderId="2" xfId="0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0" fillId="6" borderId="3" xfId="0" applyFill="1" applyBorder="1"/>
    <xf numFmtId="164" fontId="11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9" fontId="10" fillId="6" borderId="3" xfId="0" applyNumberFormat="1" applyFont="1" applyFill="1" applyBorder="1" applyAlignment="1">
      <alignment horizont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8DC"/>
      <rgbColor rgb="FFE8F0E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F5F5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A0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2"/>
  <sheetViews>
    <sheetView tabSelected="1" topLeftCell="A4" zoomScale="70" zoomScaleNormal="70" workbookViewId="0">
      <selection activeCell="F7" sqref="F7"/>
    </sheetView>
  </sheetViews>
  <sheetFormatPr defaultColWidth="8.6640625" defaultRowHeight="14.4" x14ac:dyDescent="0.3"/>
  <cols>
    <col min="1" max="1" width="4" customWidth="1"/>
    <col min="2" max="3" width="18.88671875" customWidth="1"/>
    <col min="4" max="5" width="27.88671875" customWidth="1"/>
    <col min="6" max="6" width="18.88671875" customWidth="1"/>
    <col min="7" max="7" width="20.88671875" customWidth="1"/>
    <col min="8" max="8" width="18.88671875" customWidth="1"/>
  </cols>
  <sheetData>
    <row r="2" spans="2:8" ht="17.399999999999999" x14ac:dyDescent="0.3">
      <c r="B2" s="5" t="s">
        <v>0</v>
      </c>
      <c r="C2" s="5"/>
      <c r="D2" s="5"/>
      <c r="E2" s="5"/>
      <c r="F2" s="5"/>
      <c r="G2" s="5"/>
      <c r="H2" s="5"/>
    </row>
    <row r="3" spans="2:8" x14ac:dyDescent="0.3">
      <c r="B3" s="4" t="s">
        <v>1</v>
      </c>
      <c r="C3" s="4"/>
      <c r="D3" s="4"/>
      <c r="E3" s="4"/>
      <c r="F3" s="4"/>
      <c r="G3" s="4"/>
      <c r="H3" s="4"/>
    </row>
    <row r="5" spans="2:8" ht="15" thickBot="1" x14ac:dyDescent="0.35"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7" t="s">
        <v>8</v>
      </c>
    </row>
    <row r="6" spans="2:8" ht="15" thickBot="1" x14ac:dyDescent="0.35">
      <c r="B6" s="8">
        <f>90%/5</f>
        <v>0.18</v>
      </c>
      <c r="C6" s="9" t="s">
        <v>9</v>
      </c>
      <c r="F6" s="10">
        <v>9</v>
      </c>
      <c r="G6" s="11">
        <f>IF(F6="","",IF(F6=1,E7,IF(F6=2,E8,IF(F6=3,E9,IF(F6=4,E10,IF(F6=5,E11,IF(F6=6,E12,IF(F6=7,E13,IF(F6=8,E14,IF(F6=9,E15,"Error"))))*B6))))))</f>
        <v>0.89999999999999991</v>
      </c>
      <c r="H6" s="12">
        <f>IF(F6="","",IF(F6=1,E7,IF(F6=2,E8,IF(F6=3,E9,IF(F6=4,E10,IF(F6=5,E11,IF(F6=6,E12,IF(F6=7,E13,IF(F6=8,E14,IF(F6=9,E15,"Error"))))))))))</f>
        <v>5</v>
      </c>
    </row>
    <row r="7" spans="2:8" x14ac:dyDescent="0.3">
      <c r="C7" s="13" t="s">
        <v>10</v>
      </c>
      <c r="D7" s="20" t="s">
        <v>46</v>
      </c>
      <c r="E7" s="15">
        <v>5</v>
      </c>
    </row>
    <row r="8" spans="2:8" x14ac:dyDescent="0.3">
      <c r="C8" s="13" t="s">
        <v>12</v>
      </c>
      <c r="D8" s="20" t="s">
        <v>47</v>
      </c>
      <c r="E8" s="15">
        <v>5</v>
      </c>
    </row>
    <row r="9" spans="2:8" x14ac:dyDescent="0.3">
      <c r="C9" s="13" t="s">
        <v>14</v>
      </c>
      <c r="D9" s="20" t="s">
        <v>48</v>
      </c>
      <c r="E9" s="15">
        <v>5</v>
      </c>
    </row>
    <row r="10" spans="2:8" x14ac:dyDescent="0.3">
      <c r="C10" s="13" t="s">
        <v>16</v>
      </c>
      <c r="D10" s="20" t="s">
        <v>49</v>
      </c>
      <c r="E10" s="15">
        <v>5</v>
      </c>
    </row>
    <row r="11" spans="2:8" x14ac:dyDescent="0.3">
      <c r="C11" s="13" t="s">
        <v>42</v>
      </c>
      <c r="D11" s="20" t="s">
        <v>50</v>
      </c>
      <c r="E11" s="15">
        <v>5</v>
      </c>
    </row>
    <row r="12" spans="2:8" x14ac:dyDescent="0.3">
      <c r="C12" s="13" t="s">
        <v>43</v>
      </c>
      <c r="D12" s="20" t="s">
        <v>51</v>
      </c>
      <c r="E12" s="15">
        <v>5</v>
      </c>
    </row>
    <row r="13" spans="2:8" x14ac:dyDescent="0.3">
      <c r="C13" s="13" t="s">
        <v>44</v>
      </c>
      <c r="D13" s="20" t="s">
        <v>52</v>
      </c>
      <c r="E13" s="15">
        <v>0</v>
      </c>
    </row>
    <row r="14" spans="2:8" x14ac:dyDescent="0.3">
      <c r="C14" s="13" t="s">
        <v>45</v>
      </c>
      <c r="D14" s="20" t="s">
        <v>53</v>
      </c>
      <c r="E14" s="15">
        <v>0</v>
      </c>
    </row>
    <row r="15" spans="2:8" x14ac:dyDescent="0.3">
      <c r="C15" s="13" t="s">
        <v>55</v>
      </c>
      <c r="D15" s="20" t="s">
        <v>54</v>
      </c>
      <c r="E15" s="15">
        <v>5</v>
      </c>
    </row>
    <row r="16" spans="2:8" ht="15" thickBot="1" x14ac:dyDescent="0.35"/>
    <row r="17" spans="2:8" ht="15" thickBot="1" x14ac:dyDescent="0.35">
      <c r="B17" s="8">
        <f>90%/5</f>
        <v>0.18</v>
      </c>
      <c r="C17" s="9" t="s">
        <v>9</v>
      </c>
      <c r="F17" s="10">
        <v>3</v>
      </c>
      <c r="G17" s="11">
        <f>IF(F17="","",IF(F17=1,E18,IF(F17=2,E19,IF(F17=3,E20,IF(F17=4,E21,"Error"))))*B17)</f>
        <v>0.80999999999999994</v>
      </c>
      <c r="H17" s="12">
        <f>IF(F17="","",IF(F17=1,E18,IF(F17=2,E19,IF(F17=3,E20,IF(F17=4,E21,"Error")))))</f>
        <v>4.5</v>
      </c>
    </row>
    <row r="18" spans="2:8" x14ac:dyDescent="0.3">
      <c r="C18" s="13" t="s">
        <v>10</v>
      </c>
      <c r="D18" s="14" t="s">
        <v>11</v>
      </c>
      <c r="E18" s="15">
        <v>0</v>
      </c>
    </row>
    <row r="19" spans="2:8" x14ac:dyDescent="0.3">
      <c r="C19" s="13" t="s">
        <v>12</v>
      </c>
      <c r="D19" s="14" t="s">
        <v>13</v>
      </c>
      <c r="E19" s="15">
        <v>3</v>
      </c>
    </row>
    <row r="20" spans="2:8" x14ac:dyDescent="0.3">
      <c r="C20" s="13" t="s">
        <v>14</v>
      </c>
      <c r="D20" s="14" t="s">
        <v>15</v>
      </c>
      <c r="E20" s="15">
        <v>4.5</v>
      </c>
    </row>
    <row r="21" spans="2:8" x14ac:dyDescent="0.3">
      <c r="C21" s="13" t="s">
        <v>16</v>
      </c>
      <c r="D21" s="14" t="s">
        <v>17</v>
      </c>
      <c r="E21" s="15">
        <v>5</v>
      </c>
    </row>
    <row r="23" spans="2:8" x14ac:dyDescent="0.3">
      <c r="B23" s="8">
        <f>90%/5</f>
        <v>0.18</v>
      </c>
      <c r="C23" s="9" t="s">
        <v>18</v>
      </c>
      <c r="F23" s="10">
        <v>2</v>
      </c>
      <c r="G23" s="11">
        <f>IF(F23="","",IF(F23=1,E24,IF(F23=2,E25,IF(F23=3,E26,IF(F23=4,E27,"Error"))))*B23)</f>
        <v>0.80999999999999994</v>
      </c>
      <c r="H23" s="12">
        <f>IF(F23="","",IF(F23=1,E24,IF(F23=2,E25,IF(F23=3,E26,IF(F23=4,E27,"Error")))))</f>
        <v>4.5</v>
      </c>
    </row>
    <row r="24" spans="2:8" x14ac:dyDescent="0.3">
      <c r="C24" s="13" t="s">
        <v>10</v>
      </c>
      <c r="D24" s="14" t="s">
        <v>19</v>
      </c>
      <c r="E24" s="15">
        <v>0</v>
      </c>
    </row>
    <row r="25" spans="2:8" x14ac:dyDescent="0.3">
      <c r="C25" s="13" t="s">
        <v>12</v>
      </c>
      <c r="D25" s="14" t="s">
        <v>20</v>
      </c>
      <c r="E25" s="15">
        <v>4.5</v>
      </c>
    </row>
    <row r="26" spans="2:8" x14ac:dyDescent="0.3">
      <c r="C26" s="13" t="s">
        <v>14</v>
      </c>
      <c r="D26" s="14" t="s">
        <v>21</v>
      </c>
      <c r="E26" s="15">
        <v>5</v>
      </c>
    </row>
    <row r="27" spans="2:8" x14ac:dyDescent="0.3">
      <c r="C27" s="13" t="s">
        <v>16</v>
      </c>
      <c r="D27" s="14" t="s">
        <v>22</v>
      </c>
      <c r="E27" s="15">
        <v>4</v>
      </c>
    </row>
    <row r="29" spans="2:8" x14ac:dyDescent="0.3">
      <c r="B29" s="8">
        <f>90%/5</f>
        <v>0.18</v>
      </c>
      <c r="C29" s="9" t="s">
        <v>23</v>
      </c>
      <c r="F29" s="10">
        <v>3</v>
      </c>
      <c r="G29" s="11">
        <f>IF(F29="","",IF(F29=1,E30,IF(F29=2,E31,IF(F29=3,E32,IF(F29=4,E33,"Error"))))*B29)</f>
        <v>0.80999999999999994</v>
      </c>
      <c r="H29" s="12">
        <f>IF(F29="","",IF(F29=1,E30,IF(F29=2,E31,IF(F29=3,E32,IF(F29=4,E33,"Error")))))</f>
        <v>4.5</v>
      </c>
    </row>
    <row r="30" spans="2:8" x14ac:dyDescent="0.3">
      <c r="C30" s="13" t="s">
        <v>10</v>
      </c>
      <c r="D30" s="14" t="s">
        <v>24</v>
      </c>
      <c r="E30" s="15">
        <v>0</v>
      </c>
    </row>
    <row r="31" spans="2:8" x14ac:dyDescent="0.3">
      <c r="C31" s="13" t="s">
        <v>12</v>
      </c>
      <c r="D31" s="14" t="s">
        <v>25</v>
      </c>
      <c r="E31" s="15">
        <v>3.5</v>
      </c>
    </row>
    <row r="32" spans="2:8" x14ac:dyDescent="0.3">
      <c r="C32" s="13" t="s">
        <v>14</v>
      </c>
      <c r="D32" s="14" t="s">
        <v>26</v>
      </c>
      <c r="E32" s="15">
        <v>4.5</v>
      </c>
    </row>
    <row r="33" spans="2:8" x14ac:dyDescent="0.3">
      <c r="C33" s="13" t="s">
        <v>16</v>
      </c>
      <c r="D33" s="14" t="s">
        <v>27</v>
      </c>
      <c r="E33" s="15">
        <v>5</v>
      </c>
    </row>
    <row r="35" spans="2:8" x14ac:dyDescent="0.3">
      <c r="B35" s="8">
        <f>90%/5</f>
        <v>0.18</v>
      </c>
      <c r="C35" s="9" t="s">
        <v>28</v>
      </c>
      <c r="F35" s="10">
        <v>3</v>
      </c>
      <c r="G35" s="11">
        <f>IF(F35="","",IF(F35=1,E36,IF(F35=2,E37,IF(F35=3,E38,IF(F35=4,E39,"Error"))))*B35)</f>
        <v>0.54</v>
      </c>
      <c r="H35" s="12">
        <f>IF(F35="","",IF(F35=1,E36,IF(F35=2,E37,IF(F35=3,E38,IF(F35=4,E39,"Error")))))</f>
        <v>3</v>
      </c>
    </row>
    <row r="36" spans="2:8" x14ac:dyDescent="0.3">
      <c r="C36" s="13" t="s">
        <v>10</v>
      </c>
      <c r="D36" s="14" t="s">
        <v>29</v>
      </c>
      <c r="E36" s="15">
        <v>-2</v>
      </c>
    </row>
    <row r="37" spans="2:8" x14ac:dyDescent="0.3">
      <c r="C37" s="13" t="s">
        <v>12</v>
      </c>
      <c r="D37" s="14" t="s">
        <v>30</v>
      </c>
      <c r="E37" s="15">
        <v>2</v>
      </c>
    </row>
    <row r="38" spans="2:8" x14ac:dyDescent="0.3">
      <c r="C38" s="13" t="s">
        <v>14</v>
      </c>
      <c r="D38" s="14" t="s">
        <v>31</v>
      </c>
      <c r="E38" s="15">
        <v>3</v>
      </c>
    </row>
    <row r="39" spans="2:8" x14ac:dyDescent="0.3">
      <c r="C39" s="13" t="s">
        <v>16</v>
      </c>
      <c r="D39" s="14" t="s">
        <v>32</v>
      </c>
      <c r="E39" s="15">
        <v>5</v>
      </c>
    </row>
    <row r="41" spans="2:8" x14ac:dyDescent="0.3">
      <c r="B41" s="8">
        <v>0.1</v>
      </c>
      <c r="C41" s="9" t="s">
        <v>33</v>
      </c>
      <c r="F41" s="10">
        <v>2</v>
      </c>
      <c r="G41" s="11">
        <f>IF(F41="","",IF(F41=1,E42,IF(F41=2,E43,IF(F41=3,E44,IF(F41=4,E45,"Error"))))*B41)</f>
        <v>0.4</v>
      </c>
      <c r="H41" s="12">
        <f>IF(F41="","",IF(F41=1,E42,IF(F41=2,E43,IF(F41=3,E44,IF(F41=4,E45,"Error")))))</f>
        <v>4</v>
      </c>
    </row>
    <row r="42" spans="2:8" x14ac:dyDescent="0.3">
      <c r="C42" s="13" t="s">
        <v>10</v>
      </c>
      <c r="D42" s="14" t="s">
        <v>34</v>
      </c>
      <c r="E42" s="15">
        <v>0</v>
      </c>
    </row>
    <row r="43" spans="2:8" x14ac:dyDescent="0.3">
      <c r="C43" s="13" t="s">
        <v>12</v>
      </c>
      <c r="D43" s="14" t="s">
        <v>35</v>
      </c>
      <c r="E43" s="15">
        <v>4</v>
      </c>
    </row>
    <row r="44" spans="2:8" x14ac:dyDescent="0.3">
      <c r="C44" s="13" t="s">
        <v>14</v>
      </c>
      <c r="D44" s="14" t="s">
        <v>36</v>
      </c>
      <c r="E44" s="15">
        <v>4.5</v>
      </c>
    </row>
    <row r="45" spans="2:8" x14ac:dyDescent="0.3">
      <c r="C45" s="13" t="s">
        <v>16</v>
      </c>
      <c r="D45" s="14" t="s">
        <v>37</v>
      </c>
      <c r="E45" s="15">
        <v>5</v>
      </c>
    </row>
    <row r="48" spans="2:8" ht="21" x14ac:dyDescent="0.4">
      <c r="B48" s="3" t="s">
        <v>38</v>
      </c>
      <c r="C48" s="3"/>
      <c r="D48" s="3"/>
      <c r="E48" s="3"/>
      <c r="F48" s="16"/>
      <c r="G48" s="19">
        <f>SUM(G17,G23,G29,G35,G41,G6)/G49</f>
        <v>0.85399999999999987</v>
      </c>
      <c r="H48" s="16"/>
    </row>
    <row r="49" spans="2:8" x14ac:dyDescent="0.3">
      <c r="B49" s="2" t="s">
        <v>39</v>
      </c>
      <c r="C49" s="2"/>
      <c r="D49" s="2"/>
      <c r="E49" s="2"/>
      <c r="G49" s="17">
        <f>+(MAX(E42:E45)*B41)+(MAX(E36:E39)*B35)+(MAX(E30:E33)*B29)+(MAX(E24:E27)*B23+(MAX(E18:E21)*B17))+(MAX(E7:E15)*B6)</f>
        <v>5</v>
      </c>
    </row>
    <row r="50" spans="2:8" x14ac:dyDescent="0.3">
      <c r="B50" s="2" t="s">
        <v>40</v>
      </c>
      <c r="C50" s="2"/>
      <c r="D50" s="2"/>
      <c r="E50" s="2"/>
      <c r="G50" s="18">
        <f>IF(G48=0,"",G48/2.9)</f>
        <v>0.29448275862068962</v>
      </c>
    </row>
    <row r="52" spans="2:8" x14ac:dyDescent="0.3">
      <c r="B52" s="1" t="s">
        <v>41</v>
      </c>
      <c r="C52" s="1"/>
      <c r="D52" s="1"/>
      <c r="E52" s="1"/>
      <c r="F52" s="1"/>
      <c r="G52" s="1"/>
      <c r="H52" s="1"/>
    </row>
  </sheetData>
  <mergeCells count="6">
    <mergeCell ref="B52:H52"/>
    <mergeCell ref="B2:H2"/>
    <mergeCell ref="B3:H3"/>
    <mergeCell ref="B48:E48"/>
    <mergeCell ref="B49:E49"/>
    <mergeCell ref="B50:E50"/>
  </mergeCells>
  <phoneticPr fontId="13" type="noConversion"/>
  <dataValidations count="1">
    <dataValidation type="whole" allowBlank="1" errorTitle="Valor inválido" error="Ingresa un valor entre 1 y 4" promptTitle="Selección" prompt="Selecciona 1, 2, 3 o 4" sqref="F17 F23 F29 F35 F41 F6" xr:uid="{00000000-0002-0000-0000-000000000000}">
      <formula1>1</formula1>
      <formula2>4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Correa</cp:lastModifiedBy>
  <cp:revision>0</cp:revision>
  <dcterms:created xsi:type="dcterms:W3CDTF">2026-04-16T16:22:01Z</dcterms:created>
  <dcterms:modified xsi:type="dcterms:W3CDTF">2026-04-16T17:00:04Z</dcterms:modified>
  <dc:language>en-US</dc:language>
</cp:coreProperties>
</file>